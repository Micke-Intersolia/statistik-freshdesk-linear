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brostrom\Documents\GitHub\statistik-freshdesk-linear\"/>
    </mc:Choice>
  </mc:AlternateContent>
  <xr:revisionPtr revIDLastSave="0" documentId="8_{E9011A8B-B7A3-49E5-9D39-E9BD15DDB9A2}" xr6:coauthVersionLast="47" xr6:coauthVersionMax="47" xr10:uidLastSave="{00000000-0000-0000-0000-000000000000}"/>
  <bookViews>
    <workbookView xWindow="-46188" yWindow="-108" windowWidth="23256" windowHeight="13896" firstSheet="1" activeTab="1" xr2:uid="{6F2A09DA-CCD2-491E-B3A2-1B7C2808F5EE}"/>
  </bookViews>
  <sheets>
    <sheet name="operational_all_2026-05-20_15-0" sheetId="2" r:id="rId1"/>
    <sheet name="operational_all_2026-05-20_15-1" sheetId="3" r:id="rId2"/>
    <sheet name="THIS" sheetId="5" r:id="rId3"/>
    <sheet name="Month" sheetId="1" r:id="rId4"/>
    <sheet name="Week" sheetId="4" r:id="rId5"/>
  </sheets>
  <definedNames>
    <definedName name="ExternalData_1" localSheetId="0" hidden="1">'operational_all_2026-05-20_15-0'!$A$1:$L$9</definedName>
    <definedName name="ExternalData_1" localSheetId="1" hidden="1">'operational_all_2026-05-20_15-1'!$A$1:$L$31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4" i="5" l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3" i="5"/>
  <c r="J2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I5" i="5"/>
  <c r="F15" i="5"/>
  <c r="E15" i="5"/>
  <c r="F14" i="5"/>
  <c r="E14" i="5"/>
  <c r="I14" i="5" s="1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D15" i="5"/>
  <c r="I15" i="5" s="1"/>
  <c r="D14" i="5"/>
  <c r="D13" i="5"/>
  <c r="D12" i="5"/>
  <c r="D11" i="5"/>
  <c r="D10" i="5"/>
  <c r="D9" i="5"/>
  <c r="D8" i="5"/>
  <c r="I8" i="5" s="1"/>
  <c r="D7" i="5"/>
  <c r="I7" i="5" s="1"/>
  <c r="D6" i="5"/>
  <c r="D5" i="5"/>
  <c r="D4" i="5"/>
  <c r="I4" i="5" s="1"/>
  <c r="D3" i="5"/>
  <c r="I3" i="5" s="1"/>
  <c r="D2" i="5"/>
  <c r="I2" i="5" s="1"/>
  <c r="I9" i="5" l="1"/>
  <c r="I10" i="5"/>
  <c r="I11" i="5"/>
  <c r="I6" i="5"/>
  <c r="I12" i="5"/>
  <c r="I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5542B-C7BD-4CDF-9E65-0E693D23A578}" keepAlive="1" name="Query - operational_all_2026-05-20_15-02-54" description="Connection to the 'operational_all_2026-05-20_15-02-54' query in the workbook." type="5" refreshedVersion="8" background="1" saveData="1">
    <dbPr connection="Provider=Microsoft.Mashup.OleDb.1;Data Source=$Workbook$;Location=operational_all_2026-05-20_15-02-54;Extended Properties=&quot;&quot;" command="SELECT * FROM [operational_all_2026-05-20_15-02-54]"/>
  </connection>
  <connection id="2" xr16:uid="{953D7A7A-100A-4CF4-AA72-075389EE6AC0}" keepAlive="1" name="Query - operational_all_2026-05-20_15-12-31" description="Connection to the 'operational_all_2026-05-20_15-12-31' query in the workbook." type="5" refreshedVersion="8" background="1" saveData="1">
    <dbPr connection="Provider=Microsoft.Mashup.OleDb.1;Data Source=$Workbook$;Location=operational_all_2026-05-20_15-12-31;Extended Properties=&quot;&quot;" command="SELECT * FROM [operational_all_2026-05-20_15-12-31]"/>
  </connection>
</connections>
</file>

<file path=xl/sharedStrings.xml><?xml version="1.0" encoding="utf-8"?>
<sst xmlns="http://schemas.openxmlformats.org/spreadsheetml/2006/main" count="84" uniqueCount="70">
  <si>
    <t>Completed date</t>
  </si>
  <si>
    <t>Issue count</t>
  </si>
  <si>
    <t>niklas.andersson@intersolia.com</t>
  </si>
  <si>
    <t>anton.larsson@intersolia.com</t>
  </si>
  <si>
    <t>john.christoffersson@intersolia.com</t>
  </si>
  <si>
    <t>kenny.lindblom@intersolia.com</t>
  </si>
  <si>
    <t>jaakko.tarhanen@intersolia.com</t>
  </si>
  <si>
    <t>henrik.persson@intersolia.com</t>
  </si>
  <si>
    <t>Unassigned</t>
  </si>
  <si>
    <t>christoffer.thelenius@intersolia.com</t>
  </si>
  <si>
    <t>thomas.andersson@intersolia.com</t>
  </si>
  <si>
    <t>kasper.mikkelsen@intersolia.com</t>
  </si>
  <si>
    <t>Total</t>
  </si>
  <si>
    <t>Niklas</t>
  </si>
  <si>
    <t>Anton</t>
  </si>
  <si>
    <t>John</t>
  </si>
  <si>
    <t>Kenny</t>
  </si>
  <si>
    <t>Jaakko</t>
  </si>
  <si>
    <t>Henrik</t>
  </si>
  <si>
    <t>Christoffer</t>
  </si>
  <si>
    <t>Thomas</t>
  </si>
  <si>
    <t>Kasper</t>
  </si>
  <si>
    <t>Created date,"Issue count"</t>
  </si>
  <si>
    <t>Canceled date,"Issue count"</t>
  </si>
  <si>
    <t>Completed date,"Issue count"</t>
  </si>
  <si>
    <t>2026-2-16,9</t>
  </si>
  <si>
    <t>2026-2-16,1</t>
  </si>
  <si>
    <t>2026-2-16,4</t>
  </si>
  <si>
    <t>2026-2-23,59</t>
  </si>
  <si>
    <t>2026-2-23,9</t>
  </si>
  <si>
    <t>2026-2-23,41</t>
  </si>
  <si>
    <t>2026-3-02,59</t>
  </si>
  <si>
    <t>2026-3-02,4</t>
  </si>
  <si>
    <t>2026-3-02,44</t>
  </si>
  <si>
    <t>2026-3-09,82</t>
  </si>
  <si>
    <t>2026-3-09,6</t>
  </si>
  <si>
    <t>2026-3-09,66</t>
  </si>
  <si>
    <t>2026-3-16,65</t>
  </si>
  <si>
    <t>2026-3-16,0</t>
  </si>
  <si>
    <t>2026-3-16,54</t>
  </si>
  <si>
    <t>2026-3-23,76</t>
  </si>
  <si>
    <t>2026-3-23,3</t>
  </si>
  <si>
    <t>2026-3-23,68</t>
  </si>
  <si>
    <t>2026-3-30,60</t>
  </si>
  <si>
    <t>2026-3-30,3</t>
  </si>
  <si>
    <t>2026-3-30,43</t>
  </si>
  <si>
    <t>2026-4-06,55</t>
  </si>
  <si>
    <t>2026-4-06,5</t>
  </si>
  <si>
    <t>2026-4-06,53</t>
  </si>
  <si>
    <t>2026-4-13,42</t>
  </si>
  <si>
    <t>2026-4-13,1</t>
  </si>
  <si>
    <t>2026-4-13,36</t>
  </si>
  <si>
    <t>2026-4-20,43</t>
  </si>
  <si>
    <t>2026-4-20,2</t>
  </si>
  <si>
    <t>2026-4-20,47</t>
  </si>
  <si>
    <t>2026-4-27,53</t>
  </si>
  <si>
    <t>2026-4-27,3</t>
  </si>
  <si>
    <t>2026-4-27,59</t>
  </si>
  <si>
    <t>2026-5-04,70</t>
  </si>
  <si>
    <t>2026-5-04,3</t>
  </si>
  <si>
    <t>2026-5-11,35</t>
  </si>
  <si>
    <t>2026-5-11,2</t>
  </si>
  <si>
    <t>2026-5-11,27</t>
  </si>
  <si>
    <t>2026-5-18,37</t>
  </si>
  <si>
    <t>2026-5-18,1</t>
  </si>
  <si>
    <t>2026-5-18,34</t>
  </si>
  <si>
    <t>Feb</t>
  </si>
  <si>
    <t>Mars</t>
  </si>
  <si>
    <t>April</t>
  </si>
  <si>
    <t>Maj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</si>
</sst>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2"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'operational_all_2026-05-20_15-1'!$B$1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'operational_all_2026-05-20_15-1'!$B$19:$B$31</c:f>
              <c:numCache>
                <c:formatCode>General</c:formatCode>
                <c:ptCount val="13"/>
                <c:pt idx="0">
                  <c:v>41</c:v>
                </c:pt>
                <c:pt idx="1">
                  <c:v>44</c:v>
                </c:pt>
                <c:pt idx="2">
                  <c:v>66</c:v>
                </c:pt>
                <c:pt idx="3">
                  <c:v>54</c:v>
                </c:pt>
                <c:pt idx="4">
                  <c:v>68</c:v>
                </c:pt>
                <c:pt idx="5">
                  <c:v>43</c:v>
                </c:pt>
                <c:pt idx="6">
                  <c:v>53</c:v>
                </c:pt>
                <c:pt idx="7">
                  <c:v>36</c:v>
                </c:pt>
                <c:pt idx="8">
                  <c:v>47</c:v>
                </c:pt>
                <c:pt idx="9">
                  <c:v>59</c:v>
                </c:pt>
                <c:pt idx="10">
                  <c:v>70</c:v>
                </c:pt>
                <c:pt idx="11">
                  <c:v>27</c:v>
                </c:pt>
                <c:pt idx="12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9-42AE-961E-998C85469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5312208"/>
        <c:axId val="1935309808"/>
      </c:lineChart>
      <c:dateAx>
        <c:axId val="193531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35309808"/>
        <c:crosses val="autoZero"/>
        <c:auto val="1"/>
        <c:lblOffset val="100"/>
        <c:baseTimeUnit val="days"/>
      </c:dateAx>
      <c:valAx>
        <c:axId val="19353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3531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'operational_all_2026-05-20_15-1'!$C$1</c:f>
              <c:strCache>
                <c:ptCount val="1"/>
                <c:pt idx="0">
                  <c:v>Niklas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'operational_all_2026-05-20_15-1'!$C$19:$C$31</c:f>
              <c:numCache>
                <c:formatCode>General</c:formatCode>
                <c:ptCount val="13"/>
                <c:pt idx="0">
                  <c:v>12</c:v>
                </c:pt>
                <c:pt idx="1">
                  <c:v>17</c:v>
                </c:pt>
                <c:pt idx="2">
                  <c:v>19</c:v>
                </c:pt>
                <c:pt idx="3">
                  <c:v>19</c:v>
                </c:pt>
                <c:pt idx="4">
                  <c:v>18</c:v>
                </c:pt>
                <c:pt idx="5">
                  <c:v>16</c:v>
                </c:pt>
                <c:pt idx="6">
                  <c:v>15</c:v>
                </c:pt>
                <c:pt idx="7">
                  <c:v>21</c:v>
                </c:pt>
                <c:pt idx="8">
                  <c:v>29</c:v>
                </c:pt>
                <c:pt idx="9">
                  <c:v>19</c:v>
                </c:pt>
                <c:pt idx="10">
                  <c:v>16</c:v>
                </c:pt>
                <c:pt idx="11">
                  <c:v>11</c:v>
                </c:pt>
                <c:pt idx="1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C-486F-9E0E-709FA4749677}"/>
            </c:ext>
          </c:extLst>
        </c:ser>
        <c:ser>
          <c:idx val="1"/>
          <c:order val="1"/>
          <c:tx>
            <c:strRef>
              <c:f>'operational_all_2026-05-20_15-1'!$D$1</c:f>
              <c:strCache>
                <c:ptCount val="1"/>
                <c:pt idx="0">
                  <c:v>Anton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'operational_all_2026-05-20_15-1'!$D$19:$D$31</c:f>
              <c:numCache>
                <c:formatCode>General</c:formatCode>
                <c:ptCount val="13"/>
                <c:pt idx="0">
                  <c:v>23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  <c:pt idx="4">
                  <c:v>29</c:v>
                </c:pt>
                <c:pt idx="5">
                  <c:v>17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C-486F-9E0E-709FA4749677}"/>
            </c:ext>
          </c:extLst>
        </c:ser>
        <c:ser>
          <c:idx val="2"/>
          <c:order val="2"/>
          <c:tx>
            <c:strRef>
              <c:f>'operational_all_2026-05-20_15-1'!$E$1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'operational_all_2026-05-20_15-1'!$E$19:$E$31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8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  <c:pt idx="10">
                  <c:v>30</c:v>
                </c:pt>
                <c:pt idx="11">
                  <c:v>11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C-486F-9E0E-709FA4749677}"/>
            </c:ext>
          </c:extLst>
        </c:ser>
        <c:ser>
          <c:idx val="3"/>
          <c:order val="3"/>
          <c:tx>
            <c:strRef>
              <c:f>'operational_all_2026-05-20_15-1'!$F$1</c:f>
              <c:strCache>
                <c:ptCount val="1"/>
                <c:pt idx="0">
                  <c:v>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'operational_all_2026-05-20_15-1'!$F$19:$F$31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22</c:v>
                </c:pt>
                <c:pt idx="11">
                  <c:v>4</c:v>
                </c:pt>
                <c:pt idx="1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BC-486F-9E0E-709FA4749677}"/>
            </c:ext>
          </c:extLst>
        </c:ser>
        <c:ser>
          <c:idx val="4"/>
          <c:order val="4"/>
          <c:tx>
            <c:strRef>
              <c:f>'operational_all_2026-05-20_15-1'!$G$1</c:f>
              <c:strCache>
                <c:ptCount val="1"/>
                <c:pt idx="0">
                  <c:v>Jaakko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'operational_all_2026-05-20_15-1'!$G$19:$G$31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BC-486F-9E0E-709FA4749677}"/>
            </c:ext>
          </c:extLst>
        </c:ser>
        <c:ser>
          <c:idx val="5"/>
          <c:order val="5"/>
          <c:tx>
            <c:strRef>
              <c:f>'operational_all_2026-05-20_15-1'!$H$1</c:f>
              <c:strCache>
                <c:ptCount val="1"/>
                <c:pt idx="0">
                  <c:v>Henrik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cat>
          <c:val>
            <c:numRef>
              <c:f>'operational_all_2026-05-20_15-1'!$H$19:$H$31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BC-486F-9E0E-709FA474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451264"/>
        <c:axId val="1748454624"/>
      </c:lineChart>
      <c:catAx>
        <c:axId val="1748451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48454624"/>
        <c:crosses val="autoZero"/>
        <c:auto val="0"/>
        <c:lblAlgn val="ctr"/>
        <c:lblOffset val="100"/>
        <c:noMultiLvlLbl val="0"/>
      </c:catAx>
      <c:valAx>
        <c:axId val="174845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4845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'operational_all_2026-05-20_15-1'!$B$1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'operational_all_2026-05-20_15-1'!$B$19:$B$31</c:f>
              <c:numCache>
                <c:formatCode>General</c:formatCode>
                <c:ptCount val="13"/>
                <c:pt idx="0">
                  <c:v>41</c:v>
                </c:pt>
                <c:pt idx="1">
                  <c:v>44</c:v>
                </c:pt>
                <c:pt idx="2">
                  <c:v>66</c:v>
                </c:pt>
                <c:pt idx="3">
                  <c:v>54</c:v>
                </c:pt>
                <c:pt idx="4">
                  <c:v>68</c:v>
                </c:pt>
                <c:pt idx="5">
                  <c:v>43</c:v>
                </c:pt>
                <c:pt idx="6">
                  <c:v>53</c:v>
                </c:pt>
                <c:pt idx="7">
                  <c:v>36</c:v>
                </c:pt>
                <c:pt idx="8">
                  <c:v>47</c:v>
                </c:pt>
                <c:pt idx="9">
                  <c:v>59</c:v>
                </c:pt>
                <c:pt idx="10">
                  <c:v>70</c:v>
                </c:pt>
                <c:pt idx="11">
                  <c:v>27</c:v>
                </c:pt>
                <c:pt idx="1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4-429F-981F-4DB7CC6F0923}"/>
            </c:ext>
          </c:extLst>
        </c:ser>
        <c:ser>
          <c:idx val="1"/>
          <c:order val="1"/>
          <c:tx>
            <c:strRef>
              <c:f>'operational_all_2026-05-20_15-1'!$C$1</c:f>
              <c:strCache>
                <c:ptCount val="1"/>
                <c:pt idx="0">
                  <c:v>Niklas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'operational_all_2026-05-20_15-1'!$C$19:$C$31</c:f>
              <c:numCache>
                <c:formatCode>General</c:formatCode>
                <c:ptCount val="13"/>
                <c:pt idx="0">
                  <c:v>12</c:v>
                </c:pt>
                <c:pt idx="1">
                  <c:v>17</c:v>
                </c:pt>
                <c:pt idx="2">
                  <c:v>19</c:v>
                </c:pt>
                <c:pt idx="3">
                  <c:v>19</c:v>
                </c:pt>
                <c:pt idx="4">
                  <c:v>18</c:v>
                </c:pt>
                <c:pt idx="5">
                  <c:v>16</c:v>
                </c:pt>
                <c:pt idx="6">
                  <c:v>15</c:v>
                </c:pt>
                <c:pt idx="7">
                  <c:v>21</c:v>
                </c:pt>
                <c:pt idx="8">
                  <c:v>29</c:v>
                </c:pt>
                <c:pt idx="9">
                  <c:v>19</c:v>
                </c:pt>
                <c:pt idx="10">
                  <c:v>16</c:v>
                </c:pt>
                <c:pt idx="11">
                  <c:v>11</c:v>
                </c:pt>
                <c:pt idx="1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14-429F-981F-4DB7CC6F0923}"/>
            </c:ext>
          </c:extLst>
        </c:ser>
        <c:ser>
          <c:idx val="2"/>
          <c:order val="2"/>
          <c:tx>
            <c:strRef>
              <c:f>'operational_all_2026-05-20_15-1'!$D$1</c:f>
              <c:strCache>
                <c:ptCount val="1"/>
                <c:pt idx="0">
                  <c:v>Anton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'operational_all_2026-05-20_15-1'!$D$19:$D$31</c:f>
              <c:numCache>
                <c:formatCode>General</c:formatCode>
                <c:ptCount val="13"/>
                <c:pt idx="0">
                  <c:v>23</c:v>
                </c:pt>
                <c:pt idx="1">
                  <c:v>10</c:v>
                </c:pt>
                <c:pt idx="2">
                  <c:v>22</c:v>
                </c:pt>
                <c:pt idx="3">
                  <c:v>18</c:v>
                </c:pt>
                <c:pt idx="4">
                  <c:v>29</c:v>
                </c:pt>
                <c:pt idx="5">
                  <c:v>17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14-429F-981F-4DB7CC6F0923}"/>
            </c:ext>
          </c:extLst>
        </c:ser>
        <c:ser>
          <c:idx val="3"/>
          <c:order val="3"/>
          <c:tx>
            <c:strRef>
              <c:f>'operational_all_2026-05-20_15-1'!$E$1</c:f>
              <c:strCache>
                <c:ptCount val="1"/>
                <c:pt idx="0">
                  <c:v>John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'operational_all_2026-05-20_15-1'!$E$19:$E$31</c:f>
              <c:numCache>
                <c:formatCode>General</c:formatCode>
                <c:ptCount val="13"/>
                <c:pt idx="0">
                  <c:v>0</c:v>
                </c:pt>
                <c:pt idx="1">
                  <c:v>2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8</c:v>
                </c:pt>
                <c:pt idx="6">
                  <c:v>13</c:v>
                </c:pt>
                <c:pt idx="7">
                  <c:v>8</c:v>
                </c:pt>
                <c:pt idx="8">
                  <c:v>10</c:v>
                </c:pt>
                <c:pt idx="9">
                  <c:v>13</c:v>
                </c:pt>
                <c:pt idx="10">
                  <c:v>30</c:v>
                </c:pt>
                <c:pt idx="11">
                  <c:v>11</c:v>
                </c:pt>
                <c:pt idx="12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14-429F-981F-4DB7CC6F0923}"/>
            </c:ext>
          </c:extLst>
        </c:ser>
        <c:ser>
          <c:idx val="4"/>
          <c:order val="4"/>
          <c:tx>
            <c:strRef>
              <c:f>'operational_all_2026-05-20_15-1'!$F$1</c:f>
              <c:strCache>
                <c:ptCount val="1"/>
                <c:pt idx="0">
                  <c:v>Kenny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'operational_all_2026-05-20_15-1'!$F$19:$F$31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  <c:pt idx="10">
                  <c:v>22</c:v>
                </c:pt>
                <c:pt idx="11">
                  <c:v>4</c:v>
                </c:pt>
                <c:pt idx="1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14-429F-981F-4DB7CC6F0923}"/>
            </c:ext>
          </c:extLst>
        </c:ser>
        <c:ser>
          <c:idx val="5"/>
          <c:order val="5"/>
          <c:tx>
            <c:strRef>
              <c:f>'operational_all_2026-05-20_15-1'!$G$1</c:f>
              <c:strCache>
                <c:ptCount val="1"/>
                <c:pt idx="0">
                  <c:v>Jaakko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'operational_all_2026-05-20_15-1'!$G$19:$G$31</c:f>
              <c:numCache>
                <c:formatCode>General</c:formatCode>
                <c:ptCount val="13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2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14-429F-981F-4DB7CC6F0923}"/>
            </c:ext>
          </c:extLst>
        </c:ser>
        <c:ser>
          <c:idx val="6"/>
          <c:order val="6"/>
          <c:tx>
            <c:strRef>
              <c:f>'operational_all_2026-05-20_15-1'!$H$1</c:f>
              <c:strCache>
                <c:ptCount val="1"/>
                <c:pt idx="0">
                  <c:v>Henrik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'operational_all_2026-05-20_15-1'!$A$19:$A$31</c:f>
              <c:numCache>
                <c:formatCode>m/d/yyyy</c:formatCode>
                <c:ptCount val="13"/>
                <c:pt idx="0">
                  <c:v>46076</c:v>
                </c:pt>
                <c:pt idx="1">
                  <c:v>46083</c:v>
                </c:pt>
                <c:pt idx="2">
                  <c:v>46090</c:v>
                </c:pt>
                <c:pt idx="3">
                  <c:v>46097</c:v>
                </c:pt>
                <c:pt idx="4">
                  <c:v>46104</c:v>
                </c:pt>
                <c:pt idx="5">
                  <c:v>46111</c:v>
                </c:pt>
                <c:pt idx="6">
                  <c:v>46118</c:v>
                </c:pt>
                <c:pt idx="7">
                  <c:v>46125</c:v>
                </c:pt>
                <c:pt idx="8">
                  <c:v>46132</c:v>
                </c:pt>
                <c:pt idx="9">
                  <c:v>46139</c:v>
                </c:pt>
                <c:pt idx="10">
                  <c:v>46146</c:v>
                </c:pt>
                <c:pt idx="11">
                  <c:v>46153</c:v>
                </c:pt>
                <c:pt idx="12">
                  <c:v>46160</c:v>
                </c:pt>
              </c:numCache>
            </c:numRef>
          </c:xVal>
          <c:yVal>
            <c:numRef>
              <c:f>'operational_all_2026-05-20_15-1'!$H$19:$H$31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314-429F-981F-4DB7CC6F0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684256"/>
        <c:axId val="1965686176"/>
      </c:scatterChart>
      <c:valAx>
        <c:axId val="196568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65686176"/>
        <c:crosses val="autoZero"/>
        <c:crossBetween val="midCat"/>
      </c:valAx>
      <c:valAx>
        <c:axId val="196568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96568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THIS!$H$2:$H$15</c:f>
              <c:strCache>
                <c:ptCount val="14"/>
                <c:pt idx="0">
                  <c:v>2026-2-16</c:v>
                </c:pt>
                <c:pt idx="1">
                  <c:v>2026-2-23</c:v>
                </c:pt>
                <c:pt idx="2">
                  <c:v>2026-3-02</c:v>
                </c:pt>
                <c:pt idx="3">
                  <c:v>2026-3-09</c:v>
                </c:pt>
                <c:pt idx="4">
                  <c:v>2026-3-16</c:v>
                </c:pt>
                <c:pt idx="5">
                  <c:v>2026-3-23</c:v>
                </c:pt>
                <c:pt idx="6">
                  <c:v>2026-3-30</c:v>
                </c:pt>
                <c:pt idx="7">
                  <c:v>2026-4-06</c:v>
                </c:pt>
                <c:pt idx="8">
                  <c:v>2026-4-13</c:v>
                </c:pt>
                <c:pt idx="9">
                  <c:v>2026-4-20</c:v>
                </c:pt>
                <c:pt idx="10">
                  <c:v>2026-4-27</c:v>
                </c:pt>
                <c:pt idx="11">
                  <c:v>2026-5-04</c:v>
                </c:pt>
                <c:pt idx="12">
                  <c:v>2026-5-11</c:v>
                </c:pt>
                <c:pt idx="13">
                  <c:v>2026-5-18</c:v>
                </c:pt>
              </c:strCache>
            </c:strRef>
          </c:cat>
          <c:val>
            <c:numRef>
              <c:f>THIS!$I$2:$I$15</c:f>
              <c:numCache>
                <c:formatCode>General</c:formatCode>
                <c:ptCount val="14"/>
                <c:pt idx="0">
                  <c:v>4</c:v>
                </c:pt>
                <c:pt idx="1">
                  <c:v>9</c:v>
                </c:pt>
                <c:pt idx="2">
                  <c:v>11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14</c:v>
                </c:pt>
                <c:pt idx="7">
                  <c:v>-3</c:v>
                </c:pt>
                <c:pt idx="8">
                  <c:v>5</c:v>
                </c:pt>
                <c:pt idx="9">
                  <c:v>-6</c:v>
                </c:pt>
                <c:pt idx="10">
                  <c:v>-9</c:v>
                </c:pt>
                <c:pt idx="11">
                  <c:v>-3</c:v>
                </c:pt>
                <c:pt idx="12">
                  <c:v>6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3-4937-BED8-4E7C8AE1E1E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THIS!$H$2:$H$15</c:f>
              <c:strCache>
                <c:ptCount val="14"/>
                <c:pt idx="0">
                  <c:v>2026-2-16</c:v>
                </c:pt>
                <c:pt idx="1">
                  <c:v>2026-2-23</c:v>
                </c:pt>
                <c:pt idx="2">
                  <c:v>2026-3-02</c:v>
                </c:pt>
                <c:pt idx="3">
                  <c:v>2026-3-09</c:v>
                </c:pt>
                <c:pt idx="4">
                  <c:v>2026-3-16</c:v>
                </c:pt>
                <c:pt idx="5">
                  <c:v>2026-3-23</c:v>
                </c:pt>
                <c:pt idx="6">
                  <c:v>2026-3-30</c:v>
                </c:pt>
                <c:pt idx="7">
                  <c:v>2026-4-06</c:v>
                </c:pt>
                <c:pt idx="8">
                  <c:v>2026-4-13</c:v>
                </c:pt>
                <c:pt idx="9">
                  <c:v>2026-4-20</c:v>
                </c:pt>
                <c:pt idx="10">
                  <c:v>2026-4-27</c:v>
                </c:pt>
                <c:pt idx="11">
                  <c:v>2026-5-04</c:v>
                </c:pt>
                <c:pt idx="12">
                  <c:v>2026-5-11</c:v>
                </c:pt>
                <c:pt idx="13">
                  <c:v>2026-5-18</c:v>
                </c:pt>
              </c:strCache>
            </c:strRef>
          </c:cat>
          <c:val>
            <c:numRef>
              <c:f>THIS!$J$2:$J$15</c:f>
              <c:numCache>
                <c:formatCode>General</c:formatCode>
                <c:ptCount val="14"/>
                <c:pt idx="0">
                  <c:v>4</c:v>
                </c:pt>
                <c:pt idx="1">
                  <c:v>13</c:v>
                </c:pt>
                <c:pt idx="2">
                  <c:v>24</c:v>
                </c:pt>
                <c:pt idx="3">
                  <c:v>34</c:v>
                </c:pt>
                <c:pt idx="4">
                  <c:v>45</c:v>
                </c:pt>
                <c:pt idx="5">
                  <c:v>50</c:v>
                </c:pt>
                <c:pt idx="6">
                  <c:v>64</c:v>
                </c:pt>
                <c:pt idx="7">
                  <c:v>61</c:v>
                </c:pt>
                <c:pt idx="8">
                  <c:v>66</c:v>
                </c:pt>
                <c:pt idx="9">
                  <c:v>60</c:v>
                </c:pt>
                <c:pt idx="10">
                  <c:v>51</c:v>
                </c:pt>
                <c:pt idx="11">
                  <c:v>48</c:v>
                </c:pt>
                <c:pt idx="12">
                  <c:v>54</c:v>
                </c:pt>
                <c:pt idx="1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3-4937-BED8-4E7C8AE1E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329167"/>
        <c:axId val="452323407"/>
      </c:barChart>
      <c:catAx>
        <c:axId val="45232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52323407"/>
        <c:crosses val="autoZero"/>
        <c:auto val="1"/>
        <c:lblAlgn val="ctr"/>
        <c:lblOffset val="100"/>
        <c:noMultiLvlLbl val="0"/>
      </c:catAx>
      <c:valAx>
        <c:axId val="4523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5232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Month!$C$1</c:f>
              <c:strCache>
                <c:ptCount val="1"/>
                <c:pt idx="0">
                  <c:v>Niklas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Month!$C$2:$C$5</c:f>
              <c:numCache>
                <c:formatCode>General</c:formatCode>
                <c:ptCount val="4"/>
                <c:pt idx="0">
                  <c:v>12</c:v>
                </c:pt>
                <c:pt idx="1">
                  <c:v>85</c:v>
                </c:pt>
                <c:pt idx="2">
                  <c:v>88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E7-4FED-BBDE-8B48E85522AD}"/>
            </c:ext>
          </c:extLst>
        </c:ser>
        <c:ser>
          <c:idx val="1"/>
          <c:order val="1"/>
          <c:tx>
            <c:strRef>
              <c:f>Month!$D$1</c:f>
              <c:strCache>
                <c:ptCount val="1"/>
                <c:pt idx="0">
                  <c:v>Anton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Month!$D$2:$D$5</c:f>
              <c:numCache>
                <c:formatCode>General</c:formatCode>
                <c:ptCount val="4"/>
                <c:pt idx="0">
                  <c:v>26</c:v>
                </c:pt>
                <c:pt idx="1">
                  <c:v>88</c:v>
                </c:pt>
                <c:pt idx="2">
                  <c:v>36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E7-4FED-BBDE-8B48E85522AD}"/>
            </c:ext>
          </c:extLst>
        </c:ser>
        <c:ser>
          <c:idx val="2"/>
          <c:order val="2"/>
          <c:tx>
            <c:strRef>
              <c:f>Month!$E$1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Month!$E$2:$E$5</c:f>
              <c:numCache>
                <c:formatCode>General</c:formatCode>
                <c:ptCount val="4"/>
                <c:pt idx="0">
                  <c:v>0</c:v>
                </c:pt>
                <c:pt idx="1">
                  <c:v>44</c:v>
                </c:pt>
                <c:pt idx="2">
                  <c:v>50</c:v>
                </c:pt>
                <c:pt idx="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E7-4FED-BBDE-8B48E85522AD}"/>
            </c:ext>
          </c:extLst>
        </c:ser>
        <c:ser>
          <c:idx val="3"/>
          <c:order val="3"/>
          <c:tx>
            <c:strRef>
              <c:f>Month!$F$1</c:f>
              <c:strCache>
                <c:ptCount val="1"/>
                <c:pt idx="0">
                  <c:v>Kenny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E7-4FED-BBDE-8B48E85522AD}"/>
            </c:ext>
          </c:extLst>
        </c:ser>
        <c:ser>
          <c:idx val="4"/>
          <c:order val="4"/>
          <c:tx>
            <c:strRef>
              <c:f>Month!$G$1</c:f>
              <c:strCache>
                <c:ptCount val="1"/>
                <c:pt idx="0">
                  <c:v>Jaakko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Month!$G$2:$G$5</c:f>
              <c:numCache>
                <c:formatCode>General</c:formatCode>
                <c:ptCount val="4"/>
                <c:pt idx="0">
                  <c:v>2</c:v>
                </c:pt>
                <c:pt idx="1">
                  <c:v>17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3E7-4FED-BBDE-8B48E85522AD}"/>
            </c:ext>
          </c:extLst>
        </c:ser>
        <c:ser>
          <c:idx val="5"/>
          <c:order val="5"/>
          <c:tx>
            <c:strRef>
              <c:f>Month!$H$1</c:f>
              <c:strCache>
                <c:ptCount val="1"/>
                <c:pt idx="0">
                  <c:v>Henrik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Month!$H$2:$H$5</c:f>
              <c:numCache>
                <c:formatCode>General</c:formatCode>
                <c:ptCount val="4"/>
                <c:pt idx="0">
                  <c:v>1</c:v>
                </c:pt>
                <c:pt idx="1">
                  <c:v>14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3E7-4FED-BBDE-8B48E85522AD}"/>
            </c:ext>
          </c:extLst>
        </c:ser>
        <c:ser>
          <c:idx val="6"/>
          <c:order val="6"/>
          <c:tx>
            <c:strRef>
              <c:f>Month!$I$1</c:f>
              <c:strCache>
                <c:ptCount val="1"/>
                <c:pt idx="0">
                  <c:v>Unassigned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Month!$I$2:$I$5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3E7-4FED-BBDE-8B48E85522AD}"/>
            </c:ext>
          </c:extLst>
        </c:ser>
        <c:ser>
          <c:idx val="7"/>
          <c:order val="7"/>
          <c:tx>
            <c:strRef>
              <c:f>Month!$J$1</c:f>
              <c:strCache>
                <c:ptCount val="1"/>
                <c:pt idx="0">
                  <c:v>Christoffer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Month!$J$2:$J$5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3E7-4FED-BBDE-8B48E85522AD}"/>
            </c:ext>
          </c:extLst>
        </c:ser>
        <c:ser>
          <c:idx val="8"/>
          <c:order val="8"/>
          <c:tx>
            <c:strRef>
              <c:f>Month!$K$1</c:f>
              <c:strCache>
                <c:ptCount val="1"/>
                <c:pt idx="0">
                  <c:v>Thomas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Month!$K$2:$K$5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3E7-4FED-BBDE-8B48E85522AD}"/>
            </c:ext>
          </c:extLst>
        </c:ser>
        <c:ser>
          <c:idx val="9"/>
          <c:order val="9"/>
          <c:tx>
            <c:strRef>
              <c:f>Month!$L$1</c:f>
              <c:strCache>
                <c:ptCount val="1"/>
                <c:pt idx="0">
                  <c:v>Kasper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Month!$L$2:$L$5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3E7-4FED-BBDE-8B48E8552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7987920"/>
        <c:axId val="1747986480"/>
      </c:lineChart>
      <c:catAx>
        <c:axId val="174798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47986480"/>
        <c:crosses val="autoZero"/>
        <c:auto val="1"/>
        <c:lblAlgn val="ctr"/>
        <c:lblOffset val="100"/>
        <c:noMultiLvlLbl val="0"/>
      </c:catAx>
      <c:valAx>
        <c:axId val="174798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74798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Month!$A$2:$A$5</c:f>
              <c:strCache>
                <c:ptCount val="4"/>
                <c:pt idx="0">
                  <c:v>Feb</c:v>
                </c:pt>
                <c:pt idx="1">
                  <c:v>Mars</c:v>
                </c:pt>
                <c:pt idx="2">
                  <c:v>April</c:v>
                </c:pt>
                <c:pt idx="3">
                  <c:v>Maj</c:v>
                </c:pt>
              </c:strCache>
            </c:strRef>
          </c:cat>
          <c:val>
            <c:numRef>
              <c:f>Month!$B$2:$B$5</c:f>
              <c:numCache>
                <c:formatCode>General</c:formatCode>
                <c:ptCount val="4"/>
                <c:pt idx="0">
                  <c:v>45</c:v>
                </c:pt>
                <c:pt idx="1">
                  <c:v>257</c:v>
                </c:pt>
                <c:pt idx="2">
                  <c:v>213</c:v>
                </c:pt>
                <c:pt idx="3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E1-42F4-9D47-C17100FD4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82575"/>
        <c:axId val="443973455"/>
      </c:lineChart>
      <c:catAx>
        <c:axId val="44398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43973455"/>
        <c:crosses val="autoZero"/>
        <c:auto val="1"/>
        <c:lblAlgn val="ctr"/>
        <c:lblOffset val="100"/>
        <c:noMultiLvlLbl val="0"/>
      </c:catAx>
      <c:valAx>
        <c:axId val="44397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44398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32</xdr:row>
      <xdr:rowOff>128586</xdr:rowOff>
    </xdr:from>
    <xdr:to>
      <xdr:col>4</xdr:col>
      <xdr:colOff>1247775</xdr:colOff>
      <xdr:row>50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E7845-3F9E-8526-F9D7-D49983A1E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1533525</xdr:colOff>
      <xdr:row>32</xdr:row>
      <xdr:rowOff>166686</xdr:rowOff>
    </xdr:from>
    <xdr:to>
      <xdr:col>9</xdr:col>
      <xdr:colOff>2362200</xdr:colOff>
      <xdr:row>68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5699FC-15A4-B9E8-83F4-7A2439F55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900111</xdr:colOff>
      <xdr:row>2</xdr:row>
      <xdr:rowOff>47625</xdr:rowOff>
    </xdr:from>
    <xdr:to>
      <xdr:col>7</xdr:col>
      <xdr:colOff>38099</xdr:colOff>
      <xdr:row>34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5C25E8-051F-40B7-DE6E-B9792C1D4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1052511</xdr:colOff>
      <xdr:row>16</xdr:row>
      <xdr:rowOff>166687</xdr:rowOff>
    </xdr:from>
    <xdr:to>
      <xdr:col>9</xdr:col>
      <xdr:colOff>438149</xdr:colOff>
      <xdr:row>40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DE6E8-69C2-9F7B-DB9F-4EF221AEA5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308609</xdr:colOff>
      <xdr:row>6</xdr:row>
      <xdr:rowOff>12381</xdr:rowOff>
    </xdr:from>
    <xdr:to>
      <xdr:col>14</xdr:col>
      <xdr:colOff>211454</xdr:colOff>
      <xdr:row>30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9FEE3-1095-784F-E685-F536EF0A3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314325</xdr:colOff>
      <xdr:row>0</xdr:row>
      <xdr:rowOff>147637</xdr:rowOff>
    </xdr:from>
    <xdr:to>
      <xdr:col>22</xdr:col>
      <xdr:colOff>9525</xdr:colOff>
      <xdr:row>15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9049BA-C9C5-9AED-214C-1AC0D3690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A9CC43-E851-4861-A1B8-21B8A43D7697}" autoFormatId="16" applyNumberFormats="0" applyBorderFormats="0" applyFontFormats="0" applyPatternFormats="0" applyAlignmentFormats="0" applyWidthHeightFormats="0">
  <queryTableRefresh nextId="13">
    <queryTableFields count="12">
      <queryTableField id="1" name="Completed date" tableColumnId="1"/>
      <queryTableField id="2" name="Issue count" tableColumnId="2"/>
      <queryTableField id="3" name="niklas.andersson@intersolia.com" tableColumnId="3"/>
      <queryTableField id="4" name="anton.larsson@intersolia.com" tableColumnId="4"/>
      <queryTableField id="5" name="john.christoffersson@intersolia.com" tableColumnId="5"/>
      <queryTableField id="6" name="kenny.lindblom@intersolia.com" tableColumnId="6"/>
      <queryTableField id="7" name="jaakko.tarhanen@intersolia.com" tableColumnId="7"/>
      <queryTableField id="8" name="henrik.persson@intersolia.com" tableColumnId="8"/>
      <queryTableField id="9" name="Unassigned" tableColumnId="9"/>
      <queryTableField id="10" name="christoffer.thelenius@intersolia.com" tableColumnId="10"/>
      <queryTableField id="11" name="thomas.andersson@intersolia.com" tableColumnId="11"/>
      <queryTableField id="12" name="kasper.mikkelsen@intersolia.com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3B6C9A-4A3F-4BF0-A87A-5372B406A3F8}" autoFormatId="16" applyNumberFormats="0" applyBorderFormats="0" applyFontFormats="0" applyPatternFormats="0" applyAlignmentFormats="0" applyWidthHeightFormats="0">
  <queryTableRefresh nextId="13">
    <queryTableFields count="12">
      <queryTableField id="1" name="Completed date" tableColumnId="1"/>
      <queryTableField id="2" name="Issue count" tableColumnId="2"/>
      <queryTableField id="3" name="niklas.andersson@intersolia.com" tableColumnId="3"/>
      <queryTableField id="4" name="anton.larsson@intersolia.com" tableColumnId="4"/>
      <queryTableField id="5" name="john.christoffersson@intersolia.com" tableColumnId="5"/>
      <queryTableField id="6" name="kenny.lindblom@intersolia.com" tableColumnId="6"/>
      <queryTableField id="7" name="jaakko.tarhanen@intersolia.com" tableColumnId="7"/>
      <queryTableField id="8" name="henrik.persson@intersolia.com" tableColumnId="8"/>
      <queryTableField id="9" name="Unassigned" tableColumnId="9"/>
      <queryTableField id="10" name="christoffer.thelenius@intersolia.com" tableColumnId="10"/>
      <queryTableField id="11" name="thomas.andersson@intersolia.com" tableColumnId="11"/>
      <queryTableField id="12" name="kasper.mikkelsen@intersolia.com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86A24-9088-408A-B180-BEB455683620}" name="operational_all_2026_05_20_15_02_54" displayName="operational_all_2026_05_20_15_02_54" ref="A1:L9" tableType="queryTable" totalsRowShown="0">
  <autoFilter ref="A1:L9" xr:uid="{7AC86A24-9088-408A-B180-BEB455683620}"/>
  <tableColumns count="12">
    <tableColumn id="1" xr3:uid="{5D1B109E-47FB-4C86-96E6-BB69D36D5A24}" uniqueName="1" name="Completed date" queryTableFieldId="1" dataDxfId="1"/>
    <tableColumn id="2" xr3:uid="{5920FC99-0F3F-4888-9E75-49CAE9D7828A}" uniqueName="2" name="Issue count" queryTableFieldId="2"/>
    <tableColumn id="3" xr3:uid="{D165B7B1-E2EA-434E-9C17-4CD7940320AB}" uniqueName="3" name="niklas.andersson@intersolia.com" queryTableFieldId="3"/>
    <tableColumn id="4" xr3:uid="{99E8C7EE-D3A7-4CBB-94E7-F80440DC4AF1}" uniqueName="4" name="anton.larsson@intersolia.com" queryTableFieldId="4"/>
    <tableColumn id="5" xr3:uid="{4E13043A-615A-4D15-8A5B-D9CA9ED0C634}" uniqueName="5" name="john.christoffersson@intersolia.com" queryTableFieldId="5"/>
    <tableColumn id="6" xr3:uid="{8026A6EE-0C4A-40DB-A70F-400AF09214E1}" uniqueName="6" name="kenny.lindblom@intersolia.com" queryTableFieldId="6"/>
    <tableColumn id="7" xr3:uid="{A0BE08A2-5FAA-4DD0-A155-AA42F13FCFD9}" uniqueName="7" name="jaakko.tarhanen@intersolia.com" queryTableFieldId="7"/>
    <tableColumn id="8" xr3:uid="{30ECFEB4-2648-494D-A2D4-56F66D718956}" uniqueName="8" name="henrik.persson@intersolia.com" queryTableFieldId="8"/>
    <tableColumn id="9" xr3:uid="{A3527482-25F4-4437-BA67-C358F4B975C5}" uniqueName="9" name="Unassigned" queryTableFieldId="9"/>
    <tableColumn id="10" xr3:uid="{5F090A91-D0CD-4848-A1AD-89E2CC57E991}" uniqueName="10" name="christoffer.thelenius@intersolia.com" queryTableFieldId="10"/>
    <tableColumn id="11" xr3:uid="{549E398E-3791-4A77-A80B-1052B94F5A5B}" uniqueName="11" name="thomas.andersson@intersolia.com" queryTableFieldId="11"/>
    <tableColumn id="12" xr3:uid="{FA91D5BA-650E-4768-B66D-98B7C3DDC471}" uniqueName="12" name="kasper.mikkelsen@intersolia.com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1C8AA-E526-4432-877D-97E8E0681E88}" name="operational_all_2026_05_20_15_12_31" displayName="operational_all_2026_05_20_15_12_31" ref="A1:L31" tableType="queryTable" totalsRowShown="0">
  <autoFilter ref="A1:L31" xr:uid="{4871C8AA-E526-4432-877D-97E8E0681E88}"/>
  <tableColumns count="12">
    <tableColumn id="1" xr3:uid="{7A558FBF-F45B-4AFE-BD87-99D85C9F6EB5}" uniqueName="1" name="Completed date" queryTableFieldId="1" dataDxfId="0"/>
    <tableColumn id="2" xr3:uid="{99C06C69-83D5-44F2-9022-D9F6DE0A9F6B}" uniqueName="2" name="Total" queryTableFieldId="2"/>
    <tableColumn id="3" xr3:uid="{34A4E1C1-14E5-4769-BD84-ABACF493BDCC}" uniqueName="3" name="Niklas" queryTableFieldId="3"/>
    <tableColumn id="4" xr3:uid="{5993BF2D-3495-4A1D-86CA-3286AE570A31}" uniqueName="4" name="Anton" queryTableFieldId="4"/>
    <tableColumn id="5" xr3:uid="{EB2E2354-087D-434C-ABE5-EBC4BB408D1A}" uniqueName="5" name="John" queryTableFieldId="5"/>
    <tableColumn id="6" xr3:uid="{D76EA6C5-8511-4B5D-B9B0-A1B7CBF2EC2E}" uniqueName="6" name="Kenny" queryTableFieldId="6"/>
    <tableColumn id="7" xr3:uid="{4688DF1A-0BFD-465D-A1F1-C7DAB6A75A7E}" uniqueName="7" name="Jaakko" queryTableFieldId="7"/>
    <tableColumn id="8" xr3:uid="{A4A5081E-5CEB-499C-8C36-21926F7D1C91}" uniqueName="8" name="Henrik" queryTableFieldId="8"/>
    <tableColumn id="9" xr3:uid="{34BAA160-E647-446F-82FA-05777E479226}" uniqueName="9" name="Unassigned" queryTableFieldId="9"/>
    <tableColumn id="10" xr3:uid="{9656C9E7-345E-4A13-8D9C-8FF43C112BCA}" uniqueName="10" name="Christoffer" queryTableFieldId="10"/>
    <tableColumn id="11" xr3:uid="{82A31270-737D-4905-B656-9D1A8E9A3D6C}" uniqueName="11" name="Thomas" queryTableFieldId="11"/>
    <tableColumn id="12" xr3:uid="{C8C11BA5-1EF7-4DBB-9E22-AB8374982A3F}" uniqueName="12" name="Kasper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AB2B-2C79-40E0-871C-C76728135B51}">
  <dimension ref="A1:L9"/>
  <sheetViews>
    <sheetView topLeftCell="G1" workbookViewId="0">
      <selection activeCell="A2" sqref="A2:L9"/>
    </sheetView>
  </sheetViews>
  <sheetFormatPr defaultRowHeight="14.4" x14ac:dyDescent="0.3"/>
  <cols>
    <col min="1" max="1" width="18" bestFit="1" customWidth="1"/>
    <col min="2" max="2" width="13.6640625" bestFit="1" customWidth="1"/>
    <col min="3" max="3" width="33.88671875" bestFit="1" customWidth="1"/>
    <col min="4" max="4" width="30.6640625" bestFit="1" customWidth="1"/>
    <col min="5" max="5" width="37.109375" bestFit="1" customWidth="1"/>
    <col min="6" max="6" width="32.5546875" bestFit="1" customWidth="1"/>
    <col min="7" max="7" width="32.88671875" bestFit="1" customWidth="1"/>
    <col min="8" max="8" width="32.109375" bestFit="1" customWidth="1"/>
    <col min="9" max="9" width="13.6640625" bestFit="1" customWidth="1"/>
    <col min="10" max="10" width="37.44140625" bestFit="1" customWidth="1"/>
    <col min="11" max="11" width="35.33203125" bestFit="1" customWidth="1"/>
    <col min="12" max="12" width="34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45931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3">
      <c r="A3" s="1">
        <v>45962</v>
      </c>
      <c r="B3">
        <v>3</v>
      </c>
      <c r="C3">
        <v>0</v>
      </c>
      <c r="D3">
        <v>0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</row>
    <row r="4" spans="1:12" x14ac:dyDescent="0.3">
      <c r="A4" s="1">
        <v>45992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s="1">
        <v>46023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</row>
    <row r="6" spans="1:12" x14ac:dyDescent="0.3">
      <c r="A6" s="1">
        <v>46054</v>
      </c>
      <c r="B6">
        <v>45</v>
      </c>
      <c r="C6">
        <v>12</v>
      </c>
      <c r="D6">
        <v>26</v>
      </c>
      <c r="E6">
        <v>0</v>
      </c>
      <c r="F6">
        <v>0</v>
      </c>
      <c r="G6">
        <v>2</v>
      </c>
      <c r="H6">
        <v>1</v>
      </c>
      <c r="I6">
        <v>3</v>
      </c>
      <c r="J6">
        <v>1</v>
      </c>
      <c r="K6">
        <v>0</v>
      </c>
      <c r="L6">
        <v>0</v>
      </c>
    </row>
    <row r="7" spans="1:12" x14ac:dyDescent="0.3">
      <c r="A7" s="1">
        <v>46082</v>
      </c>
      <c r="B7">
        <v>257</v>
      </c>
      <c r="C7">
        <v>85</v>
      </c>
      <c r="D7">
        <v>88</v>
      </c>
      <c r="E7">
        <v>44</v>
      </c>
      <c r="F7">
        <v>0</v>
      </c>
      <c r="G7">
        <v>17</v>
      </c>
      <c r="H7">
        <v>14</v>
      </c>
      <c r="I7">
        <v>6</v>
      </c>
      <c r="J7">
        <v>2</v>
      </c>
      <c r="K7">
        <v>0</v>
      </c>
      <c r="L7">
        <v>1</v>
      </c>
    </row>
    <row r="8" spans="1:12" x14ac:dyDescent="0.3">
      <c r="A8" s="1">
        <v>46113</v>
      </c>
      <c r="B8">
        <v>213</v>
      </c>
      <c r="C8">
        <v>88</v>
      </c>
      <c r="D8">
        <v>36</v>
      </c>
      <c r="E8">
        <v>50</v>
      </c>
      <c r="F8">
        <v>12</v>
      </c>
      <c r="G8">
        <v>14</v>
      </c>
      <c r="H8">
        <v>4</v>
      </c>
      <c r="I8">
        <v>4</v>
      </c>
      <c r="J8">
        <v>5</v>
      </c>
      <c r="K8">
        <v>0</v>
      </c>
      <c r="L8">
        <v>0</v>
      </c>
    </row>
    <row r="9" spans="1:12" x14ac:dyDescent="0.3">
      <c r="A9" s="1">
        <v>46143</v>
      </c>
      <c r="B9">
        <v>131</v>
      </c>
      <c r="C9">
        <v>35</v>
      </c>
      <c r="D9">
        <v>5</v>
      </c>
      <c r="E9">
        <v>51</v>
      </c>
      <c r="F9">
        <v>35</v>
      </c>
      <c r="G9">
        <v>0</v>
      </c>
      <c r="H9">
        <v>3</v>
      </c>
      <c r="I9">
        <v>1</v>
      </c>
      <c r="J9">
        <v>1</v>
      </c>
      <c r="K9">
        <v>0</v>
      </c>
      <c r="L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F938-80A3-46BA-AB09-4CE415858D7B}">
  <dimension ref="A1:L31"/>
  <sheetViews>
    <sheetView tabSelected="1" workbookViewId="0">
      <selection activeCell="H31" sqref="A1:H31"/>
    </sheetView>
  </sheetViews>
  <sheetFormatPr defaultRowHeight="14.4" x14ac:dyDescent="0.3"/>
  <cols>
    <col min="1" max="1" width="18" bestFit="1" customWidth="1"/>
    <col min="2" max="2" width="13.6640625" bestFit="1" customWidth="1"/>
    <col min="3" max="3" width="33.88671875" bestFit="1" customWidth="1"/>
    <col min="4" max="4" width="30.6640625" bestFit="1" customWidth="1"/>
    <col min="5" max="5" width="37.109375" bestFit="1" customWidth="1"/>
    <col min="6" max="6" width="32.5546875" bestFit="1" customWidth="1"/>
    <col min="7" max="7" width="32.88671875" bestFit="1" customWidth="1"/>
    <col min="8" max="8" width="32.109375" bestFit="1" customWidth="1"/>
    <col min="9" max="9" width="13.6640625" bestFit="1" customWidth="1"/>
    <col min="10" max="10" width="37.44140625" bestFit="1" customWidth="1"/>
    <col min="11" max="11" width="35.33203125" bestFit="1" customWidth="1"/>
    <col min="12" max="12" width="34.44140625" bestFit="1" customWidth="1"/>
  </cols>
  <sheetData>
    <row r="1" spans="1:12" x14ac:dyDescent="0.3">
      <c r="A1" t="s">
        <v>0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8</v>
      </c>
      <c r="J1" s="2" t="s">
        <v>19</v>
      </c>
      <c r="K1" s="2" t="s">
        <v>20</v>
      </c>
      <c r="L1" s="2" t="s">
        <v>21</v>
      </c>
    </row>
    <row r="2" spans="1:12" x14ac:dyDescent="0.3">
      <c r="A2" s="1">
        <v>45957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3">
      <c r="A3" s="1">
        <v>45964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s="1">
        <v>45971</v>
      </c>
      <c r="B4">
        <v>2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</row>
    <row r="5" spans="1:12" x14ac:dyDescent="0.3">
      <c r="A5" s="1">
        <v>45978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s="1">
        <v>45985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">
      <c r="A7" s="1">
        <v>45992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">
      <c r="A8" s="1">
        <v>45999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">
      <c r="A9" s="1">
        <v>46006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s="1">
        <v>46013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">
      <c r="A11" s="1">
        <v>46020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s="1">
        <v>46027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s="1">
        <v>46034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s="1">
        <v>46041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</row>
    <row r="15" spans="1:12" x14ac:dyDescent="0.3">
      <c r="A15" s="1">
        <v>46048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 x14ac:dyDescent="0.3">
      <c r="A16" s="1">
        <v>46055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s="1">
        <v>46062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s="1">
        <v>46069</v>
      </c>
      <c r="B18">
        <v>4</v>
      </c>
      <c r="C18">
        <v>0</v>
      </c>
      <c r="D18">
        <v>3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3">
      <c r="A19" s="1">
        <v>46076</v>
      </c>
      <c r="B19">
        <v>41</v>
      </c>
      <c r="C19">
        <v>12</v>
      </c>
      <c r="D19">
        <v>23</v>
      </c>
      <c r="E19">
        <v>0</v>
      </c>
      <c r="F19">
        <v>0</v>
      </c>
      <c r="G19">
        <v>2</v>
      </c>
      <c r="H19">
        <v>1</v>
      </c>
      <c r="I19">
        <v>2</v>
      </c>
      <c r="J19">
        <v>1</v>
      </c>
      <c r="K19">
        <v>0</v>
      </c>
      <c r="L19">
        <v>0</v>
      </c>
    </row>
    <row r="20" spans="1:12" x14ac:dyDescent="0.3">
      <c r="A20" s="1">
        <v>46083</v>
      </c>
      <c r="B20">
        <v>44</v>
      </c>
      <c r="C20">
        <v>17</v>
      </c>
      <c r="D20">
        <v>10</v>
      </c>
      <c r="E20">
        <v>2</v>
      </c>
      <c r="F20">
        <v>0</v>
      </c>
      <c r="G20">
        <v>8</v>
      </c>
      <c r="H20">
        <v>4</v>
      </c>
      <c r="I20">
        <v>1</v>
      </c>
      <c r="J20">
        <v>1</v>
      </c>
      <c r="K20">
        <v>0</v>
      </c>
      <c r="L20">
        <v>1</v>
      </c>
    </row>
    <row r="21" spans="1:12" x14ac:dyDescent="0.3">
      <c r="A21" s="1">
        <v>46090</v>
      </c>
      <c r="B21">
        <v>66</v>
      </c>
      <c r="C21">
        <v>19</v>
      </c>
      <c r="D21">
        <v>22</v>
      </c>
      <c r="E21">
        <v>13</v>
      </c>
      <c r="F21">
        <v>0</v>
      </c>
      <c r="G21">
        <v>7</v>
      </c>
      <c r="H21">
        <v>5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s="1">
        <v>46097</v>
      </c>
      <c r="B22">
        <v>54</v>
      </c>
      <c r="C22">
        <v>19</v>
      </c>
      <c r="D22">
        <v>18</v>
      </c>
      <c r="E22">
        <v>12</v>
      </c>
      <c r="F22">
        <v>0</v>
      </c>
      <c r="G22">
        <v>0</v>
      </c>
      <c r="H22">
        <v>3</v>
      </c>
      <c r="I22">
        <v>1</v>
      </c>
      <c r="J22">
        <v>1</v>
      </c>
      <c r="K22">
        <v>0</v>
      </c>
      <c r="L22">
        <v>0</v>
      </c>
    </row>
    <row r="23" spans="1:12" x14ac:dyDescent="0.3">
      <c r="A23" s="1">
        <v>46104</v>
      </c>
      <c r="B23">
        <v>68</v>
      </c>
      <c r="C23">
        <v>18</v>
      </c>
      <c r="D23">
        <v>29</v>
      </c>
      <c r="E23">
        <v>15</v>
      </c>
      <c r="F23">
        <v>0</v>
      </c>
      <c r="G23">
        <v>2</v>
      </c>
      <c r="H23">
        <v>2</v>
      </c>
      <c r="I23">
        <v>2</v>
      </c>
      <c r="J23">
        <v>0</v>
      </c>
      <c r="K23">
        <v>0</v>
      </c>
      <c r="L23">
        <v>0</v>
      </c>
    </row>
    <row r="24" spans="1:12" x14ac:dyDescent="0.3">
      <c r="A24" s="1">
        <v>46111</v>
      </c>
      <c r="B24">
        <v>43</v>
      </c>
      <c r="C24">
        <v>16</v>
      </c>
      <c r="D24">
        <v>17</v>
      </c>
      <c r="E24">
        <v>8</v>
      </c>
      <c r="F24">
        <v>0</v>
      </c>
      <c r="G24">
        <v>0</v>
      </c>
      <c r="H24">
        <v>0</v>
      </c>
      <c r="I24">
        <v>2</v>
      </c>
      <c r="J24">
        <v>0</v>
      </c>
      <c r="K24">
        <v>0</v>
      </c>
      <c r="L24">
        <v>0</v>
      </c>
    </row>
    <row r="25" spans="1:12" x14ac:dyDescent="0.3">
      <c r="A25" s="1">
        <v>46118</v>
      </c>
      <c r="B25">
        <v>53</v>
      </c>
      <c r="C25">
        <v>15</v>
      </c>
      <c r="D25">
        <v>14</v>
      </c>
      <c r="E25">
        <v>13</v>
      </c>
      <c r="F25">
        <v>2</v>
      </c>
      <c r="G25">
        <v>4</v>
      </c>
      <c r="H25">
        <v>1</v>
      </c>
      <c r="I25">
        <v>1</v>
      </c>
      <c r="J25">
        <v>3</v>
      </c>
      <c r="K25">
        <v>0</v>
      </c>
      <c r="L25">
        <v>0</v>
      </c>
    </row>
    <row r="26" spans="1:12" x14ac:dyDescent="0.3">
      <c r="A26" s="1">
        <v>46125</v>
      </c>
      <c r="B26">
        <v>36</v>
      </c>
      <c r="C26">
        <v>21</v>
      </c>
      <c r="D26">
        <v>0</v>
      </c>
      <c r="E26">
        <v>8</v>
      </c>
      <c r="F26">
        <v>2</v>
      </c>
      <c r="G26">
        <v>2</v>
      </c>
      <c r="H26">
        <v>2</v>
      </c>
      <c r="I26">
        <v>1</v>
      </c>
      <c r="J26">
        <v>0</v>
      </c>
      <c r="K26">
        <v>0</v>
      </c>
      <c r="L26">
        <v>0</v>
      </c>
    </row>
    <row r="27" spans="1:12" x14ac:dyDescent="0.3">
      <c r="A27" s="1">
        <v>46132</v>
      </c>
      <c r="B27">
        <v>47</v>
      </c>
      <c r="C27">
        <v>29</v>
      </c>
      <c r="D27">
        <v>0</v>
      </c>
      <c r="E27">
        <v>10</v>
      </c>
      <c r="F27">
        <v>1</v>
      </c>
      <c r="G27">
        <v>5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1:12" x14ac:dyDescent="0.3">
      <c r="A28" s="1">
        <v>46139</v>
      </c>
      <c r="B28">
        <v>59</v>
      </c>
      <c r="C28">
        <v>19</v>
      </c>
      <c r="D28">
        <v>14</v>
      </c>
      <c r="E28">
        <v>13</v>
      </c>
      <c r="F28">
        <v>7</v>
      </c>
      <c r="G28">
        <v>3</v>
      </c>
      <c r="H28">
        <v>0</v>
      </c>
      <c r="I28">
        <v>1</v>
      </c>
      <c r="J28">
        <v>2</v>
      </c>
      <c r="K28">
        <v>0</v>
      </c>
      <c r="L28">
        <v>0</v>
      </c>
    </row>
    <row r="29" spans="1:12" x14ac:dyDescent="0.3">
      <c r="A29" s="1">
        <v>46146</v>
      </c>
      <c r="B29">
        <v>70</v>
      </c>
      <c r="C29">
        <v>16</v>
      </c>
      <c r="D29">
        <v>0</v>
      </c>
      <c r="E29">
        <v>30</v>
      </c>
      <c r="F29">
        <v>22</v>
      </c>
      <c r="G29">
        <v>0</v>
      </c>
      <c r="H29">
        <v>1</v>
      </c>
      <c r="I29">
        <v>0</v>
      </c>
      <c r="J29">
        <v>1</v>
      </c>
      <c r="K29">
        <v>0</v>
      </c>
      <c r="L29">
        <v>0</v>
      </c>
    </row>
    <row r="30" spans="1:12" x14ac:dyDescent="0.3">
      <c r="A30" s="1">
        <v>46153</v>
      </c>
      <c r="B30">
        <v>27</v>
      </c>
      <c r="C30">
        <v>11</v>
      </c>
      <c r="D30">
        <v>0</v>
      </c>
      <c r="E30">
        <v>11</v>
      </c>
      <c r="F30">
        <v>4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s="1">
        <v>46160</v>
      </c>
      <c r="B31">
        <v>34</v>
      </c>
      <c r="C31">
        <v>8</v>
      </c>
      <c r="D31">
        <v>5</v>
      </c>
      <c r="E31">
        <v>10</v>
      </c>
      <c r="F31">
        <v>9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E51E-6135-498C-A5DA-6D9850A6DAD6}">
  <dimension ref="A1:J15"/>
  <sheetViews>
    <sheetView workbookViewId="0">
      <selection activeCell="I2" sqref="I2"/>
    </sheetView>
  </sheetViews>
  <sheetFormatPr defaultRowHeight="14.4" x14ac:dyDescent="0.3"/>
  <cols>
    <col min="1" max="1" width="24.5546875" bestFit="1" customWidth="1"/>
    <col min="2" max="2" width="26.109375" bestFit="1" customWidth="1"/>
    <col min="3" max="3" width="27.44140625" bestFit="1" customWidth="1"/>
  </cols>
  <sheetData>
    <row r="1" spans="1:10" x14ac:dyDescent="0.3">
      <c r="A1" t="s">
        <v>22</v>
      </c>
      <c r="B1" t="s">
        <v>23</v>
      </c>
      <c r="C1" t="s">
        <v>24</v>
      </c>
    </row>
    <row r="2" spans="1:10" x14ac:dyDescent="0.3">
      <c r="A2" t="s">
        <v>25</v>
      </c>
      <c r="B2" t="s">
        <v>26</v>
      </c>
      <c r="C2" t="s">
        <v>27</v>
      </c>
      <c r="D2" t="str">
        <f>RIGHT(A2,LEN(A2)-10)</f>
        <v>9</v>
      </c>
      <c r="E2" t="str">
        <f>RIGHT(B2,LEN(B2)-10)</f>
        <v>1</v>
      </c>
      <c r="F2" t="str">
        <f>RIGHT(C2,LEN(C2)-10)</f>
        <v>4</v>
      </c>
      <c r="H2" t="str">
        <f>LEFT(A2,9)</f>
        <v>2026-2-16</v>
      </c>
      <c r="I2">
        <f t="shared" ref="I2:I15" si="0">D2-E2-F2</f>
        <v>4</v>
      </c>
      <c r="J2">
        <f>I2+J1</f>
        <v>4</v>
      </c>
    </row>
    <row r="3" spans="1:10" x14ac:dyDescent="0.3">
      <c r="A3" t="s">
        <v>28</v>
      </c>
      <c r="B3" t="s">
        <v>29</v>
      </c>
      <c r="C3" t="s">
        <v>30</v>
      </c>
      <c r="D3" t="str">
        <f t="shared" ref="D3:D15" si="1">RIGHT(A3,LEN(A3)-10)</f>
        <v>59</v>
      </c>
      <c r="E3" t="str">
        <f t="shared" ref="E3:E15" si="2">RIGHT(B3,LEN(B3)-10)</f>
        <v>9</v>
      </c>
      <c r="F3" t="str">
        <f t="shared" ref="F3:F15" si="3">RIGHT(C3,LEN(C3)-10)</f>
        <v>41</v>
      </c>
      <c r="H3" t="str">
        <f t="shared" ref="H3:H15" si="4">LEFT(A3,9)</f>
        <v>2026-2-23</v>
      </c>
      <c r="I3">
        <f t="shared" si="0"/>
        <v>9</v>
      </c>
      <c r="J3">
        <f>I3+J2</f>
        <v>13</v>
      </c>
    </row>
    <row r="4" spans="1:10" x14ac:dyDescent="0.3">
      <c r="A4" t="s">
        <v>31</v>
      </c>
      <c r="B4" t="s">
        <v>32</v>
      </c>
      <c r="C4" t="s">
        <v>33</v>
      </c>
      <c r="D4" t="str">
        <f t="shared" si="1"/>
        <v>59</v>
      </c>
      <c r="E4" t="str">
        <f t="shared" si="2"/>
        <v>4</v>
      </c>
      <c r="F4" t="str">
        <f t="shared" si="3"/>
        <v>44</v>
      </c>
      <c r="H4" t="str">
        <f t="shared" si="4"/>
        <v>2026-3-02</v>
      </c>
      <c r="I4">
        <f t="shared" si="0"/>
        <v>11</v>
      </c>
      <c r="J4">
        <f t="shared" ref="J4:J15" si="5">I4+J3</f>
        <v>24</v>
      </c>
    </row>
    <row r="5" spans="1:10" x14ac:dyDescent="0.3">
      <c r="A5" t="s">
        <v>34</v>
      </c>
      <c r="B5" t="s">
        <v>35</v>
      </c>
      <c r="C5" t="s">
        <v>36</v>
      </c>
      <c r="D5" t="str">
        <f t="shared" si="1"/>
        <v>82</v>
      </c>
      <c r="E5" t="str">
        <f t="shared" si="2"/>
        <v>6</v>
      </c>
      <c r="F5" t="str">
        <f t="shared" si="3"/>
        <v>66</v>
      </c>
      <c r="H5" t="str">
        <f t="shared" si="4"/>
        <v>2026-3-09</v>
      </c>
      <c r="I5">
        <f t="shared" si="0"/>
        <v>10</v>
      </c>
      <c r="J5">
        <f t="shared" si="5"/>
        <v>34</v>
      </c>
    </row>
    <row r="6" spans="1:10" x14ac:dyDescent="0.3">
      <c r="A6" t="s">
        <v>37</v>
      </c>
      <c r="B6" t="s">
        <v>38</v>
      </c>
      <c r="C6" t="s">
        <v>39</v>
      </c>
      <c r="D6" t="str">
        <f t="shared" si="1"/>
        <v>65</v>
      </c>
      <c r="E6" t="str">
        <f t="shared" si="2"/>
        <v>0</v>
      </c>
      <c r="F6" t="str">
        <f t="shared" si="3"/>
        <v>54</v>
      </c>
      <c r="H6" t="str">
        <f t="shared" si="4"/>
        <v>2026-3-16</v>
      </c>
      <c r="I6">
        <f t="shared" si="0"/>
        <v>11</v>
      </c>
      <c r="J6">
        <f t="shared" si="5"/>
        <v>45</v>
      </c>
    </row>
    <row r="7" spans="1:10" x14ac:dyDescent="0.3">
      <c r="A7" t="s">
        <v>40</v>
      </c>
      <c r="B7" t="s">
        <v>41</v>
      </c>
      <c r="C7" t="s">
        <v>42</v>
      </c>
      <c r="D7" t="str">
        <f t="shared" si="1"/>
        <v>76</v>
      </c>
      <c r="E7" t="str">
        <f t="shared" si="2"/>
        <v>3</v>
      </c>
      <c r="F7" t="str">
        <f t="shared" si="3"/>
        <v>68</v>
      </c>
      <c r="H7" t="str">
        <f t="shared" si="4"/>
        <v>2026-3-23</v>
      </c>
      <c r="I7">
        <f t="shared" si="0"/>
        <v>5</v>
      </c>
      <c r="J7">
        <f t="shared" si="5"/>
        <v>50</v>
      </c>
    </row>
    <row r="8" spans="1:10" x14ac:dyDescent="0.3">
      <c r="A8" t="s">
        <v>43</v>
      </c>
      <c r="B8" t="s">
        <v>44</v>
      </c>
      <c r="C8" t="s">
        <v>45</v>
      </c>
      <c r="D8" t="str">
        <f t="shared" si="1"/>
        <v>60</v>
      </c>
      <c r="E8" t="str">
        <f t="shared" si="2"/>
        <v>3</v>
      </c>
      <c r="F8" t="str">
        <f t="shared" si="3"/>
        <v>43</v>
      </c>
      <c r="H8" t="str">
        <f t="shared" si="4"/>
        <v>2026-3-30</v>
      </c>
      <c r="I8">
        <f t="shared" si="0"/>
        <v>14</v>
      </c>
      <c r="J8">
        <f t="shared" si="5"/>
        <v>64</v>
      </c>
    </row>
    <row r="9" spans="1:10" x14ac:dyDescent="0.3">
      <c r="A9" t="s">
        <v>46</v>
      </c>
      <c r="B9" t="s">
        <v>47</v>
      </c>
      <c r="C9" t="s">
        <v>48</v>
      </c>
      <c r="D9" t="str">
        <f t="shared" si="1"/>
        <v>55</v>
      </c>
      <c r="E9" t="str">
        <f t="shared" si="2"/>
        <v>5</v>
      </c>
      <c r="F9" t="str">
        <f t="shared" si="3"/>
        <v>53</v>
      </c>
      <c r="H9" t="str">
        <f t="shared" si="4"/>
        <v>2026-4-06</v>
      </c>
      <c r="I9">
        <f t="shared" si="0"/>
        <v>-3</v>
      </c>
      <c r="J9">
        <f t="shared" si="5"/>
        <v>61</v>
      </c>
    </row>
    <row r="10" spans="1:10" x14ac:dyDescent="0.3">
      <c r="A10" t="s">
        <v>49</v>
      </c>
      <c r="B10" t="s">
        <v>50</v>
      </c>
      <c r="C10" t="s">
        <v>51</v>
      </c>
      <c r="D10" t="str">
        <f t="shared" si="1"/>
        <v>42</v>
      </c>
      <c r="E10" t="str">
        <f t="shared" si="2"/>
        <v>1</v>
      </c>
      <c r="F10" t="str">
        <f t="shared" si="3"/>
        <v>36</v>
      </c>
      <c r="H10" t="str">
        <f t="shared" si="4"/>
        <v>2026-4-13</v>
      </c>
      <c r="I10">
        <f t="shared" si="0"/>
        <v>5</v>
      </c>
      <c r="J10">
        <f t="shared" si="5"/>
        <v>66</v>
      </c>
    </row>
    <row r="11" spans="1:10" x14ac:dyDescent="0.3">
      <c r="A11" t="s">
        <v>52</v>
      </c>
      <c r="B11" t="s">
        <v>53</v>
      </c>
      <c r="C11" t="s">
        <v>54</v>
      </c>
      <c r="D11" t="str">
        <f t="shared" si="1"/>
        <v>43</v>
      </c>
      <c r="E11" t="str">
        <f t="shared" si="2"/>
        <v>2</v>
      </c>
      <c r="F11" t="str">
        <f t="shared" si="3"/>
        <v>47</v>
      </c>
      <c r="H11" t="str">
        <f t="shared" si="4"/>
        <v>2026-4-20</v>
      </c>
      <c r="I11">
        <f t="shared" si="0"/>
        <v>-6</v>
      </c>
      <c r="J11">
        <f t="shared" si="5"/>
        <v>60</v>
      </c>
    </row>
    <row r="12" spans="1:10" x14ac:dyDescent="0.3">
      <c r="A12" t="s">
        <v>55</v>
      </c>
      <c r="B12" t="s">
        <v>56</v>
      </c>
      <c r="C12" t="s">
        <v>57</v>
      </c>
      <c r="D12" t="str">
        <f t="shared" si="1"/>
        <v>53</v>
      </c>
      <c r="E12" t="str">
        <f t="shared" si="2"/>
        <v>3</v>
      </c>
      <c r="F12" t="str">
        <f t="shared" si="3"/>
        <v>59</v>
      </c>
      <c r="H12" t="str">
        <f t="shared" si="4"/>
        <v>2026-4-27</v>
      </c>
      <c r="I12">
        <f t="shared" si="0"/>
        <v>-9</v>
      </c>
      <c r="J12">
        <f t="shared" si="5"/>
        <v>51</v>
      </c>
    </row>
    <row r="13" spans="1:10" x14ac:dyDescent="0.3">
      <c r="A13" t="s">
        <v>58</v>
      </c>
      <c r="B13" t="s">
        <v>59</v>
      </c>
      <c r="C13" t="s">
        <v>58</v>
      </c>
      <c r="D13" t="str">
        <f t="shared" si="1"/>
        <v>70</v>
      </c>
      <c r="E13" t="str">
        <f t="shared" si="2"/>
        <v>3</v>
      </c>
      <c r="F13" t="str">
        <f t="shared" si="3"/>
        <v>70</v>
      </c>
      <c r="H13" t="str">
        <f t="shared" si="4"/>
        <v>2026-5-04</v>
      </c>
      <c r="I13">
        <f t="shared" si="0"/>
        <v>-3</v>
      </c>
      <c r="J13">
        <f t="shared" si="5"/>
        <v>48</v>
      </c>
    </row>
    <row r="14" spans="1:10" x14ac:dyDescent="0.3">
      <c r="A14" t="s">
        <v>60</v>
      </c>
      <c r="B14" t="s">
        <v>61</v>
      </c>
      <c r="C14" t="s">
        <v>62</v>
      </c>
      <c r="D14" t="str">
        <f t="shared" si="1"/>
        <v>35</v>
      </c>
      <c r="E14" t="str">
        <f t="shared" si="2"/>
        <v>2</v>
      </c>
      <c r="F14" t="str">
        <f t="shared" si="3"/>
        <v>27</v>
      </c>
      <c r="H14" t="str">
        <f t="shared" si="4"/>
        <v>2026-5-11</v>
      </c>
      <c r="I14">
        <f t="shared" si="0"/>
        <v>6</v>
      </c>
      <c r="J14">
        <f t="shared" si="5"/>
        <v>54</v>
      </c>
    </row>
    <row r="15" spans="1:10" x14ac:dyDescent="0.3">
      <c r="A15" t="s">
        <v>63</v>
      </c>
      <c r="B15" t="s">
        <v>64</v>
      </c>
      <c r="C15" t="s">
        <v>65</v>
      </c>
      <c r="D15" t="str">
        <f t="shared" si="1"/>
        <v>37</v>
      </c>
      <c r="E15" t="str">
        <f t="shared" si="2"/>
        <v>1</v>
      </c>
      <c r="F15" t="str">
        <f t="shared" si="3"/>
        <v>34</v>
      </c>
      <c r="H15" t="str">
        <f t="shared" si="4"/>
        <v>2026-5-18</v>
      </c>
      <c r="I15">
        <f t="shared" si="0"/>
        <v>2</v>
      </c>
      <c r="J15">
        <f t="shared" si="5"/>
        <v>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E6C3-7351-4794-B084-6F64DF5FD48C}">
  <dimension ref="A1:L5"/>
  <sheetViews>
    <sheetView workbookViewId="0">
      <selection activeCell="L1" sqref="L1"/>
    </sheetView>
  </sheetViews>
  <sheetFormatPr defaultRowHeight="14.4" x14ac:dyDescent="0.3"/>
  <cols>
    <col min="1" max="1" width="14.88671875" bestFit="1" customWidth="1"/>
  </cols>
  <sheetData>
    <row r="1" spans="1:12" x14ac:dyDescent="0.3">
      <c r="A1" s="2"/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8</v>
      </c>
      <c r="J1" s="2" t="s">
        <v>19</v>
      </c>
      <c r="K1" s="2" t="s">
        <v>20</v>
      </c>
      <c r="L1" s="2" t="s">
        <v>21</v>
      </c>
    </row>
    <row r="2" spans="1:12" x14ac:dyDescent="0.3">
      <c r="A2" s="3" t="s">
        <v>66</v>
      </c>
      <c r="B2">
        <v>45</v>
      </c>
      <c r="C2">
        <v>12</v>
      </c>
      <c r="D2">
        <v>26</v>
      </c>
      <c r="E2">
        <v>0</v>
      </c>
      <c r="F2">
        <v>0</v>
      </c>
      <c r="G2">
        <v>2</v>
      </c>
      <c r="H2">
        <v>1</v>
      </c>
      <c r="I2">
        <v>3</v>
      </c>
      <c r="J2">
        <v>1</v>
      </c>
      <c r="K2">
        <v>0</v>
      </c>
      <c r="L2">
        <v>0</v>
      </c>
    </row>
    <row r="3" spans="1:12" x14ac:dyDescent="0.3">
      <c r="A3" s="3" t="s">
        <v>67</v>
      </c>
      <c r="B3">
        <v>257</v>
      </c>
      <c r="C3">
        <v>85</v>
      </c>
      <c r="D3">
        <v>88</v>
      </c>
      <c r="E3">
        <v>44</v>
      </c>
      <c r="F3">
        <v>0</v>
      </c>
      <c r="G3">
        <v>17</v>
      </c>
      <c r="H3">
        <v>14</v>
      </c>
      <c r="I3">
        <v>6</v>
      </c>
      <c r="J3">
        <v>2</v>
      </c>
      <c r="K3">
        <v>0</v>
      </c>
      <c r="L3">
        <v>1</v>
      </c>
    </row>
    <row r="4" spans="1:12" x14ac:dyDescent="0.3">
      <c r="A4" s="3" t="s">
        <v>68</v>
      </c>
      <c r="B4">
        <v>213</v>
      </c>
      <c r="C4">
        <v>88</v>
      </c>
      <c r="D4">
        <v>36</v>
      </c>
      <c r="E4">
        <v>50</v>
      </c>
      <c r="F4">
        <v>12</v>
      </c>
      <c r="G4">
        <v>14</v>
      </c>
      <c r="H4">
        <v>4</v>
      </c>
      <c r="I4">
        <v>4</v>
      </c>
      <c r="J4">
        <v>5</v>
      </c>
      <c r="K4">
        <v>0</v>
      </c>
      <c r="L4">
        <v>0</v>
      </c>
    </row>
    <row r="5" spans="1:12" x14ac:dyDescent="0.3">
      <c r="A5" s="3" t="s">
        <v>69</v>
      </c>
      <c r="B5">
        <v>131</v>
      </c>
      <c r="C5">
        <v>35</v>
      </c>
      <c r="D5">
        <v>5</v>
      </c>
      <c r="E5">
        <v>51</v>
      </c>
      <c r="F5">
        <v>35</v>
      </c>
      <c r="G5">
        <v>0</v>
      </c>
      <c r="H5">
        <v>3</v>
      </c>
      <c r="I5">
        <v>1</v>
      </c>
      <c r="J5">
        <v>1</v>
      </c>
      <c r="K5">
        <v>0</v>
      </c>
      <c r="L5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CB14-6AB6-4A6E-8A47-02806E46CA46}">
  <dimension ref="A1"/>
  <sheetViews>
    <sheetView topLeftCell="A7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C31D4-8180-4392-91E8-3F75ED29B4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operational_all_2026-05-20_15-0</vt:lpstr>
      <vt:lpstr>operational_all_2026-05-20_15-1</vt:lpstr>
      <vt:lpstr>THIS</vt:lpstr>
      <vt:lpstr>Month</vt:lpstr>
      <vt:lpstr>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Persson</dc:creator>
  <cp:keywords/>
  <dc:description/>
  <cp:lastModifiedBy>Michael Broström</cp:lastModifiedBy>
  <cp:revision/>
  <dcterms:created xsi:type="dcterms:W3CDTF">2026-05-20T13:06:55Z</dcterms:created>
  <dcterms:modified xsi:type="dcterms:W3CDTF">2026-06-09T12:21:16Z</dcterms:modified>
  <cp:category/>
  <cp:contentStatus/>
</cp:coreProperties>
</file>